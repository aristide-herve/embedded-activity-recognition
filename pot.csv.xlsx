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TP Capteurs\"/>
    </mc:Choice>
  </mc:AlternateContent>
  <xr:revisionPtr revIDLastSave="0" documentId="13_ncr:1_{7D50B0E6-17C4-4F66-9057-65DDB1932DDA}" xr6:coauthVersionLast="47" xr6:coauthVersionMax="47" xr10:uidLastSave="{00000000-0000-0000-0000-000000000000}"/>
  <bookViews>
    <workbookView xWindow="-120" yWindow="-120" windowWidth="25440" windowHeight="15270" xr2:uid="{BBCD3FEB-F94C-4223-8504-A108B2F9F89E}"/>
  </bookViews>
  <sheets>
    <sheet name="Feuil1" sheetId="1" r:id="rId1"/>
  </sheets>
  <definedNames>
    <definedName name="_xlchart.v1.0" hidden="1">Feuil1!$D$5:$D$104</definedName>
    <definedName name="_xlchart.v1.1" hidden="1">Feuil1!$E$5:$E$104</definedName>
    <definedName name="_xlchart.v1.2" hidden="1">Feuil1!$D$5:$D$104</definedName>
    <definedName name="_xlchart.v1.3" hidden="1">Feuil1!$E$5:$E$104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1" i="1" l="1"/>
  <c r="P71" i="1"/>
  <c r="O71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6" i="1"/>
  <c r="F7" i="1"/>
  <c r="F5" i="1"/>
  <c r="N71" i="1"/>
  <c r="M71" i="1"/>
  <c r="J71" i="1"/>
</calcChain>
</file>

<file path=xl/sharedStrings.xml><?xml version="1.0" encoding="utf-8"?>
<sst xmlns="http://schemas.openxmlformats.org/spreadsheetml/2006/main" count="14" uniqueCount="14">
  <si>
    <t>t_ms</t>
  </si>
  <si>
    <t xml:space="preserve"> voltage</t>
  </si>
  <si>
    <t xml:space="preserve">Ecart Type </t>
  </si>
  <si>
    <t>Largeur crête à crête</t>
  </si>
  <si>
    <t>Moy ou Offset</t>
  </si>
  <si>
    <t xml:space="preserve">LSB </t>
  </si>
  <si>
    <t>Vref</t>
  </si>
  <si>
    <t xml:space="preserve">N </t>
  </si>
  <si>
    <t>ENOB</t>
  </si>
  <si>
    <t xml:space="preserve">Delta t </t>
  </si>
  <si>
    <t>Ecart de tps</t>
  </si>
  <si>
    <t>Freq</t>
  </si>
  <si>
    <t>Derive Lente</t>
  </si>
  <si>
    <t xml:space="preserve">Il s'agit de trouver une  droite de regression lineaire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</si>
</sst>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Feuil1!$D$5:$D$104</c:f>
              <c:numCache>
                <c:formatCode>General</c:formatCode>
                <c:ptCount val="100"/>
                <c:pt idx="0">
                  <c:v>1</c:v>
                </c:pt>
                <c:pt idx="1">
                  <c:v>101</c:v>
                </c:pt>
                <c:pt idx="2">
                  <c:v>201</c:v>
                </c:pt>
                <c:pt idx="3">
                  <c:v>301</c:v>
                </c:pt>
                <c:pt idx="4">
                  <c:v>401</c:v>
                </c:pt>
                <c:pt idx="5">
                  <c:v>501</c:v>
                </c:pt>
                <c:pt idx="6">
                  <c:v>601</c:v>
                </c:pt>
                <c:pt idx="7">
                  <c:v>701</c:v>
                </c:pt>
                <c:pt idx="8">
                  <c:v>801</c:v>
                </c:pt>
                <c:pt idx="9">
                  <c:v>901</c:v>
                </c:pt>
                <c:pt idx="10">
                  <c:v>1001</c:v>
                </c:pt>
                <c:pt idx="11">
                  <c:v>1101</c:v>
                </c:pt>
                <c:pt idx="12">
                  <c:v>1201</c:v>
                </c:pt>
                <c:pt idx="13">
                  <c:v>1301</c:v>
                </c:pt>
                <c:pt idx="14">
                  <c:v>1401</c:v>
                </c:pt>
                <c:pt idx="15">
                  <c:v>1501</c:v>
                </c:pt>
                <c:pt idx="16">
                  <c:v>1601</c:v>
                </c:pt>
                <c:pt idx="17">
                  <c:v>1701</c:v>
                </c:pt>
                <c:pt idx="18">
                  <c:v>1801</c:v>
                </c:pt>
                <c:pt idx="19">
                  <c:v>1901</c:v>
                </c:pt>
                <c:pt idx="20">
                  <c:v>2001</c:v>
                </c:pt>
                <c:pt idx="21">
                  <c:v>2101</c:v>
                </c:pt>
                <c:pt idx="22">
                  <c:v>2201</c:v>
                </c:pt>
                <c:pt idx="23">
                  <c:v>2301</c:v>
                </c:pt>
                <c:pt idx="24">
                  <c:v>2401</c:v>
                </c:pt>
                <c:pt idx="25">
                  <c:v>2501</c:v>
                </c:pt>
                <c:pt idx="26">
                  <c:v>2601</c:v>
                </c:pt>
                <c:pt idx="27">
                  <c:v>2701</c:v>
                </c:pt>
                <c:pt idx="28">
                  <c:v>2801</c:v>
                </c:pt>
                <c:pt idx="29">
                  <c:v>2901</c:v>
                </c:pt>
                <c:pt idx="30">
                  <c:v>3001</c:v>
                </c:pt>
                <c:pt idx="31">
                  <c:v>3101</c:v>
                </c:pt>
                <c:pt idx="32">
                  <c:v>3201</c:v>
                </c:pt>
                <c:pt idx="33">
                  <c:v>3301</c:v>
                </c:pt>
                <c:pt idx="34">
                  <c:v>3401</c:v>
                </c:pt>
                <c:pt idx="35">
                  <c:v>3501</c:v>
                </c:pt>
                <c:pt idx="36">
                  <c:v>3601</c:v>
                </c:pt>
                <c:pt idx="37">
                  <c:v>3701</c:v>
                </c:pt>
                <c:pt idx="38">
                  <c:v>3801</c:v>
                </c:pt>
                <c:pt idx="39">
                  <c:v>3901</c:v>
                </c:pt>
                <c:pt idx="40">
                  <c:v>4115</c:v>
                </c:pt>
                <c:pt idx="41">
                  <c:v>4215</c:v>
                </c:pt>
                <c:pt idx="42">
                  <c:v>4315</c:v>
                </c:pt>
                <c:pt idx="43">
                  <c:v>4415</c:v>
                </c:pt>
                <c:pt idx="44">
                  <c:v>4515</c:v>
                </c:pt>
                <c:pt idx="45">
                  <c:v>4615</c:v>
                </c:pt>
                <c:pt idx="46">
                  <c:v>4715</c:v>
                </c:pt>
                <c:pt idx="47">
                  <c:v>4815</c:v>
                </c:pt>
                <c:pt idx="48">
                  <c:v>4915</c:v>
                </c:pt>
                <c:pt idx="49">
                  <c:v>5015</c:v>
                </c:pt>
                <c:pt idx="50">
                  <c:v>5115</c:v>
                </c:pt>
                <c:pt idx="51">
                  <c:v>5215</c:v>
                </c:pt>
                <c:pt idx="52">
                  <c:v>5315</c:v>
                </c:pt>
                <c:pt idx="53">
                  <c:v>5415</c:v>
                </c:pt>
                <c:pt idx="54">
                  <c:v>5515</c:v>
                </c:pt>
                <c:pt idx="55">
                  <c:v>5615</c:v>
                </c:pt>
                <c:pt idx="56">
                  <c:v>5715</c:v>
                </c:pt>
                <c:pt idx="57">
                  <c:v>5815</c:v>
                </c:pt>
                <c:pt idx="58">
                  <c:v>5915</c:v>
                </c:pt>
                <c:pt idx="59">
                  <c:v>6015</c:v>
                </c:pt>
                <c:pt idx="60">
                  <c:v>6115</c:v>
                </c:pt>
                <c:pt idx="61">
                  <c:v>6215</c:v>
                </c:pt>
                <c:pt idx="62">
                  <c:v>6315</c:v>
                </c:pt>
                <c:pt idx="63">
                  <c:v>6415</c:v>
                </c:pt>
                <c:pt idx="64">
                  <c:v>6515</c:v>
                </c:pt>
                <c:pt idx="65">
                  <c:v>6615</c:v>
                </c:pt>
                <c:pt idx="66">
                  <c:v>6715</c:v>
                </c:pt>
                <c:pt idx="67">
                  <c:v>6815</c:v>
                </c:pt>
                <c:pt idx="68">
                  <c:v>6915</c:v>
                </c:pt>
                <c:pt idx="69">
                  <c:v>7015</c:v>
                </c:pt>
                <c:pt idx="70">
                  <c:v>7115</c:v>
                </c:pt>
                <c:pt idx="71">
                  <c:v>7215</c:v>
                </c:pt>
                <c:pt idx="72">
                  <c:v>7315</c:v>
                </c:pt>
                <c:pt idx="73">
                  <c:v>7415</c:v>
                </c:pt>
                <c:pt idx="74">
                  <c:v>7515</c:v>
                </c:pt>
                <c:pt idx="75">
                  <c:v>7615</c:v>
                </c:pt>
                <c:pt idx="76">
                  <c:v>7715</c:v>
                </c:pt>
                <c:pt idx="77">
                  <c:v>7815</c:v>
                </c:pt>
                <c:pt idx="78">
                  <c:v>7915</c:v>
                </c:pt>
                <c:pt idx="79">
                  <c:v>8129</c:v>
                </c:pt>
                <c:pt idx="80">
                  <c:v>8229</c:v>
                </c:pt>
                <c:pt idx="81">
                  <c:v>8329</c:v>
                </c:pt>
                <c:pt idx="82">
                  <c:v>8429</c:v>
                </c:pt>
                <c:pt idx="83">
                  <c:v>8529</c:v>
                </c:pt>
                <c:pt idx="84">
                  <c:v>8629</c:v>
                </c:pt>
                <c:pt idx="85">
                  <c:v>8729</c:v>
                </c:pt>
                <c:pt idx="86">
                  <c:v>8829</c:v>
                </c:pt>
                <c:pt idx="87">
                  <c:v>8929</c:v>
                </c:pt>
                <c:pt idx="88">
                  <c:v>9029</c:v>
                </c:pt>
                <c:pt idx="89">
                  <c:v>9129</c:v>
                </c:pt>
                <c:pt idx="90">
                  <c:v>9229</c:v>
                </c:pt>
                <c:pt idx="91">
                  <c:v>9329</c:v>
                </c:pt>
                <c:pt idx="92">
                  <c:v>9429</c:v>
                </c:pt>
                <c:pt idx="93">
                  <c:v>9529</c:v>
                </c:pt>
                <c:pt idx="94">
                  <c:v>9629</c:v>
                </c:pt>
                <c:pt idx="95">
                  <c:v>9729</c:v>
                </c:pt>
                <c:pt idx="96">
                  <c:v>9829</c:v>
                </c:pt>
                <c:pt idx="97">
                  <c:v>9929</c:v>
                </c:pt>
                <c:pt idx="98">
                  <c:v>10029</c:v>
                </c:pt>
                <c:pt idx="99">
                  <c:v>10129</c:v>
                </c:pt>
              </c:numCache>
            </c:numRef>
          </c:xVal>
          <c:yVal>
            <c:numRef>
              <c:f>Feuil1!$E$5:$E$104</c:f>
              <c:numCache>
                <c:formatCode>General</c:formatCode>
                <c:ptCount val="100"/>
                <c:pt idx="0">
                  <c:v>1.3900999999999999</c:v>
                </c:pt>
                <c:pt idx="1">
                  <c:v>1.3909</c:v>
                </c:pt>
                <c:pt idx="2">
                  <c:v>1.3909</c:v>
                </c:pt>
                <c:pt idx="3">
                  <c:v>1.3909</c:v>
                </c:pt>
                <c:pt idx="4">
                  <c:v>1.3900999999999999</c:v>
                </c:pt>
                <c:pt idx="5">
                  <c:v>1.3925000000000001</c:v>
                </c:pt>
                <c:pt idx="6">
                  <c:v>1.3909</c:v>
                </c:pt>
                <c:pt idx="7">
                  <c:v>1.3909</c:v>
                </c:pt>
                <c:pt idx="8">
                  <c:v>1.3900999999999999</c:v>
                </c:pt>
                <c:pt idx="9">
                  <c:v>1.3916999999999999</c:v>
                </c:pt>
                <c:pt idx="10">
                  <c:v>1.3909</c:v>
                </c:pt>
                <c:pt idx="11">
                  <c:v>1.3900999999999999</c:v>
                </c:pt>
                <c:pt idx="12">
                  <c:v>1.3885000000000001</c:v>
                </c:pt>
                <c:pt idx="13">
                  <c:v>1.3909</c:v>
                </c:pt>
                <c:pt idx="14">
                  <c:v>1.3916999999999999</c:v>
                </c:pt>
                <c:pt idx="15">
                  <c:v>1.3909</c:v>
                </c:pt>
                <c:pt idx="16">
                  <c:v>1.3909</c:v>
                </c:pt>
                <c:pt idx="17">
                  <c:v>1.3909</c:v>
                </c:pt>
                <c:pt idx="18">
                  <c:v>1.3900999999999999</c:v>
                </c:pt>
                <c:pt idx="19">
                  <c:v>1.3916999999999999</c:v>
                </c:pt>
                <c:pt idx="20">
                  <c:v>1.3916999999999999</c:v>
                </c:pt>
                <c:pt idx="21">
                  <c:v>1.3909</c:v>
                </c:pt>
                <c:pt idx="22">
                  <c:v>1.3909</c:v>
                </c:pt>
                <c:pt idx="23">
                  <c:v>1.3916999999999999</c:v>
                </c:pt>
                <c:pt idx="24">
                  <c:v>1.3900999999999999</c:v>
                </c:pt>
                <c:pt idx="25">
                  <c:v>1.3909</c:v>
                </c:pt>
                <c:pt idx="26">
                  <c:v>1.3869</c:v>
                </c:pt>
                <c:pt idx="27">
                  <c:v>1.3916999999999999</c:v>
                </c:pt>
                <c:pt idx="28">
                  <c:v>1.3916999999999999</c:v>
                </c:pt>
                <c:pt idx="29">
                  <c:v>1.3909</c:v>
                </c:pt>
                <c:pt idx="30">
                  <c:v>1.3916999999999999</c:v>
                </c:pt>
                <c:pt idx="31">
                  <c:v>1.3909</c:v>
                </c:pt>
                <c:pt idx="32">
                  <c:v>1.3909</c:v>
                </c:pt>
                <c:pt idx="33">
                  <c:v>1.3876999999999999</c:v>
                </c:pt>
                <c:pt idx="34">
                  <c:v>1.3861000000000001</c:v>
                </c:pt>
                <c:pt idx="35">
                  <c:v>1.3900999999999999</c:v>
                </c:pt>
                <c:pt idx="36">
                  <c:v>1.3916999999999999</c:v>
                </c:pt>
                <c:pt idx="37">
                  <c:v>1.3909</c:v>
                </c:pt>
                <c:pt idx="38">
                  <c:v>1.3916999999999999</c:v>
                </c:pt>
                <c:pt idx="39">
                  <c:v>1.3900999999999999</c:v>
                </c:pt>
                <c:pt idx="40">
                  <c:v>1.3909</c:v>
                </c:pt>
                <c:pt idx="41">
                  <c:v>1.3909</c:v>
                </c:pt>
                <c:pt idx="42">
                  <c:v>1.3916999999999999</c:v>
                </c:pt>
                <c:pt idx="43">
                  <c:v>1.3900999999999999</c:v>
                </c:pt>
                <c:pt idx="44">
                  <c:v>1.3916999999999999</c:v>
                </c:pt>
                <c:pt idx="45">
                  <c:v>1.3909</c:v>
                </c:pt>
                <c:pt idx="46">
                  <c:v>1.3916999999999999</c:v>
                </c:pt>
                <c:pt idx="47">
                  <c:v>1.3909</c:v>
                </c:pt>
                <c:pt idx="48">
                  <c:v>1.3909</c:v>
                </c:pt>
                <c:pt idx="49">
                  <c:v>1.3916999999999999</c:v>
                </c:pt>
                <c:pt idx="50">
                  <c:v>1.3909</c:v>
                </c:pt>
                <c:pt idx="51">
                  <c:v>1.3909</c:v>
                </c:pt>
                <c:pt idx="52">
                  <c:v>1.3916999999999999</c:v>
                </c:pt>
                <c:pt idx="53">
                  <c:v>1.3916999999999999</c:v>
                </c:pt>
                <c:pt idx="54">
                  <c:v>1.3909</c:v>
                </c:pt>
                <c:pt idx="55">
                  <c:v>1.3909</c:v>
                </c:pt>
                <c:pt idx="56">
                  <c:v>1.3909</c:v>
                </c:pt>
                <c:pt idx="57">
                  <c:v>1.3909</c:v>
                </c:pt>
                <c:pt idx="58">
                  <c:v>1.3933</c:v>
                </c:pt>
                <c:pt idx="59">
                  <c:v>1.3909</c:v>
                </c:pt>
                <c:pt idx="60">
                  <c:v>1.3909</c:v>
                </c:pt>
                <c:pt idx="61">
                  <c:v>1.3900999999999999</c:v>
                </c:pt>
                <c:pt idx="62">
                  <c:v>1.3916999999999999</c:v>
                </c:pt>
                <c:pt idx="63">
                  <c:v>1.3909</c:v>
                </c:pt>
                <c:pt idx="64">
                  <c:v>1.3909</c:v>
                </c:pt>
                <c:pt idx="65">
                  <c:v>1.3909</c:v>
                </c:pt>
                <c:pt idx="66">
                  <c:v>1.3909</c:v>
                </c:pt>
                <c:pt idx="67">
                  <c:v>1.3916999999999999</c:v>
                </c:pt>
                <c:pt idx="68">
                  <c:v>1.3909</c:v>
                </c:pt>
                <c:pt idx="69">
                  <c:v>1.3909</c:v>
                </c:pt>
                <c:pt idx="70">
                  <c:v>1.3909</c:v>
                </c:pt>
                <c:pt idx="71">
                  <c:v>1.3909</c:v>
                </c:pt>
                <c:pt idx="72">
                  <c:v>1.3909</c:v>
                </c:pt>
                <c:pt idx="73">
                  <c:v>1.3909</c:v>
                </c:pt>
                <c:pt idx="74">
                  <c:v>1.3909</c:v>
                </c:pt>
                <c:pt idx="75">
                  <c:v>1.3909</c:v>
                </c:pt>
                <c:pt idx="76">
                  <c:v>1.3909</c:v>
                </c:pt>
                <c:pt idx="77">
                  <c:v>1.3916999999999999</c:v>
                </c:pt>
                <c:pt idx="78">
                  <c:v>1.3909</c:v>
                </c:pt>
                <c:pt idx="79">
                  <c:v>1.3916999999999999</c:v>
                </c:pt>
                <c:pt idx="80">
                  <c:v>1.3916999999999999</c:v>
                </c:pt>
                <c:pt idx="81">
                  <c:v>1.3909</c:v>
                </c:pt>
                <c:pt idx="82">
                  <c:v>1.3916999999999999</c:v>
                </c:pt>
                <c:pt idx="83">
                  <c:v>1.3909</c:v>
                </c:pt>
                <c:pt idx="84">
                  <c:v>1.3909</c:v>
                </c:pt>
                <c:pt idx="85">
                  <c:v>1.3909</c:v>
                </c:pt>
                <c:pt idx="86">
                  <c:v>1.3900999999999999</c:v>
                </c:pt>
                <c:pt idx="87">
                  <c:v>1.3916999999999999</c:v>
                </c:pt>
                <c:pt idx="88">
                  <c:v>1.3916999999999999</c:v>
                </c:pt>
                <c:pt idx="89">
                  <c:v>1.3909</c:v>
                </c:pt>
                <c:pt idx="90">
                  <c:v>1.3916999999999999</c:v>
                </c:pt>
                <c:pt idx="91">
                  <c:v>1.3909</c:v>
                </c:pt>
                <c:pt idx="92">
                  <c:v>1.3909</c:v>
                </c:pt>
                <c:pt idx="93">
                  <c:v>1.3916999999999999</c:v>
                </c:pt>
                <c:pt idx="94">
                  <c:v>1.3909</c:v>
                </c:pt>
                <c:pt idx="95">
                  <c:v>1.3909</c:v>
                </c:pt>
                <c:pt idx="96">
                  <c:v>1.3909</c:v>
                </c:pt>
                <c:pt idx="97">
                  <c:v>1.3909</c:v>
                </c:pt>
                <c:pt idx="98">
                  <c:v>1.3885000000000001</c:v>
                </c:pt>
                <c:pt idx="99">
                  <c:v>1.3909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E-4853-B075-DF3BD93FE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07776"/>
        <c:axId val="1086909024"/>
      </c:scatterChart>
      <c:valAx>
        <c:axId val="108690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909024"/>
        <c:crosses val="autoZero"/>
        <c:crossBetween val="midCat"/>
      </c:valAx>
      <c:valAx>
        <c:axId val="10869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90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04E5ED6-4FBD-49AE-891B-74E992F61CBA}" formatIdx="0">
          <cx:dataId val="0"/>
          <cx:layoutPr>
            <cx:binning intervalClosed="r"/>
          </cx:layoutPr>
        </cx:series>
        <cx:series layoutId="clusteredColumn" hidden="1" uniqueId="{C2006754-2306-415E-9353-81F9E446EB87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152399</xdr:colOff>
      <xdr:row>79</xdr:row>
      <xdr:rowOff>176212</xdr:rowOff>
    </xdr:from>
    <xdr:to>
      <xdr:col>17</xdr:col>
      <xdr:colOff>9524</xdr:colOff>
      <xdr:row>98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6AFF783-7F8C-4FD3-8DBD-E59D89CA5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105</xdr:row>
      <xdr:rowOff>33337</xdr:rowOff>
    </xdr:from>
    <xdr:to>
      <xdr:col>13</xdr:col>
      <xdr:colOff>528637</xdr:colOff>
      <xdr:row>119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8300BD0B-B6E6-474C-8A32-6091A73607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0787" y="20035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ADC8-0D96-44AE-86D7-F721F40C06C1}">
  <dimension ref="D4:Q104"/>
  <sheetViews>
    <sheetView tabSelected="1" topLeftCell="C49" workbookViewId="0">
      <selection activeCell="Q71" sqref="Q71"/>
    </sheetView>
  </sheetViews>
  <sheetFormatPr baseColWidth="10" defaultRowHeight="15" x14ac:dyDescent="0.25"/>
  <cols>
    <col min="11" max="11" width="21" customWidth="1"/>
    <col min="12" max="12" width="13.5703125" bestFit="1" customWidth="1"/>
    <col min="13" max="13" width="17.7109375" bestFit="1" customWidth="1"/>
  </cols>
  <sheetData>
    <row r="4" spans="4:6" x14ac:dyDescent="0.25">
      <c r="D4" t="s">
        <v>0</v>
      </c>
      <c r="E4" t="s">
        <v>1</v>
      </c>
      <c r="F4" t="s">
        <v>10</v>
      </c>
    </row>
    <row r="5" spans="4:6" x14ac:dyDescent="0.25">
      <c r="D5">
        <v>1</v>
      </c>
      <c r="E5">
        <v>1.3900999999999999</v>
      </c>
      <c r="F5">
        <f xml:space="preserve"> D6 - D5</f>
        <v>100</v>
      </c>
    </row>
    <row r="6" spans="4:6" x14ac:dyDescent="0.25">
      <c r="D6">
        <v>101</v>
      </c>
      <c r="E6">
        <v>1.3909</v>
      </c>
      <c r="F6">
        <f xml:space="preserve"> D7 - D6</f>
        <v>100</v>
      </c>
    </row>
    <row r="7" spans="4:6" x14ac:dyDescent="0.25">
      <c r="D7">
        <v>201</v>
      </c>
      <c r="E7">
        <v>1.3909</v>
      </c>
      <c r="F7">
        <f t="shared" ref="F6:F69" si="0" xml:space="preserve"> D8 - D7</f>
        <v>100</v>
      </c>
    </row>
    <row r="8" spans="4:6" x14ac:dyDescent="0.25">
      <c r="D8">
        <v>301</v>
      </c>
      <c r="E8">
        <v>1.3909</v>
      </c>
      <c r="F8">
        <f t="shared" si="0"/>
        <v>100</v>
      </c>
    </row>
    <row r="9" spans="4:6" x14ac:dyDescent="0.25">
      <c r="D9">
        <v>401</v>
      </c>
      <c r="E9">
        <v>1.3900999999999999</v>
      </c>
      <c r="F9">
        <f t="shared" si="0"/>
        <v>100</v>
      </c>
    </row>
    <row r="10" spans="4:6" x14ac:dyDescent="0.25">
      <c r="D10">
        <v>501</v>
      </c>
      <c r="E10">
        <v>1.3925000000000001</v>
      </c>
      <c r="F10">
        <f t="shared" si="0"/>
        <v>100</v>
      </c>
    </row>
    <row r="11" spans="4:6" x14ac:dyDescent="0.25">
      <c r="D11">
        <v>601</v>
      </c>
      <c r="E11">
        <v>1.3909</v>
      </c>
      <c r="F11">
        <f t="shared" si="0"/>
        <v>100</v>
      </c>
    </row>
    <row r="12" spans="4:6" x14ac:dyDescent="0.25">
      <c r="D12">
        <v>701</v>
      </c>
      <c r="E12">
        <v>1.3909</v>
      </c>
      <c r="F12">
        <f t="shared" si="0"/>
        <v>100</v>
      </c>
    </row>
    <row r="13" spans="4:6" x14ac:dyDescent="0.25">
      <c r="D13">
        <v>801</v>
      </c>
      <c r="E13">
        <v>1.3900999999999999</v>
      </c>
      <c r="F13">
        <f t="shared" si="0"/>
        <v>100</v>
      </c>
    </row>
    <row r="14" spans="4:6" x14ac:dyDescent="0.25">
      <c r="D14">
        <v>901</v>
      </c>
      <c r="E14">
        <v>1.3916999999999999</v>
      </c>
      <c r="F14">
        <f t="shared" si="0"/>
        <v>100</v>
      </c>
    </row>
    <row r="15" spans="4:6" x14ac:dyDescent="0.25">
      <c r="D15">
        <v>1001</v>
      </c>
      <c r="E15">
        <v>1.3909</v>
      </c>
      <c r="F15">
        <f t="shared" si="0"/>
        <v>100</v>
      </c>
    </row>
    <row r="16" spans="4:6" x14ac:dyDescent="0.25">
      <c r="D16">
        <v>1101</v>
      </c>
      <c r="E16">
        <v>1.3900999999999999</v>
      </c>
      <c r="F16">
        <f t="shared" si="0"/>
        <v>100</v>
      </c>
    </row>
    <row r="17" spans="4:6" x14ac:dyDescent="0.25">
      <c r="D17">
        <v>1201</v>
      </c>
      <c r="E17">
        <v>1.3885000000000001</v>
      </c>
      <c r="F17">
        <f t="shared" si="0"/>
        <v>100</v>
      </c>
    </row>
    <row r="18" spans="4:6" x14ac:dyDescent="0.25">
      <c r="D18">
        <v>1301</v>
      </c>
      <c r="E18">
        <v>1.3909</v>
      </c>
      <c r="F18">
        <f t="shared" si="0"/>
        <v>100</v>
      </c>
    </row>
    <row r="19" spans="4:6" x14ac:dyDescent="0.25">
      <c r="D19">
        <v>1401</v>
      </c>
      <c r="E19">
        <v>1.3916999999999999</v>
      </c>
      <c r="F19">
        <f t="shared" si="0"/>
        <v>100</v>
      </c>
    </row>
    <row r="20" spans="4:6" x14ac:dyDescent="0.25">
      <c r="D20">
        <v>1501</v>
      </c>
      <c r="E20">
        <v>1.3909</v>
      </c>
      <c r="F20">
        <f t="shared" si="0"/>
        <v>100</v>
      </c>
    </row>
    <row r="21" spans="4:6" x14ac:dyDescent="0.25">
      <c r="D21">
        <v>1601</v>
      </c>
      <c r="E21">
        <v>1.3909</v>
      </c>
      <c r="F21">
        <f t="shared" si="0"/>
        <v>100</v>
      </c>
    </row>
    <row r="22" spans="4:6" x14ac:dyDescent="0.25">
      <c r="D22">
        <v>1701</v>
      </c>
      <c r="E22">
        <v>1.3909</v>
      </c>
      <c r="F22">
        <f t="shared" si="0"/>
        <v>100</v>
      </c>
    </row>
    <row r="23" spans="4:6" x14ac:dyDescent="0.25">
      <c r="D23">
        <v>1801</v>
      </c>
      <c r="E23">
        <v>1.3900999999999999</v>
      </c>
      <c r="F23">
        <f t="shared" si="0"/>
        <v>100</v>
      </c>
    </row>
    <row r="24" spans="4:6" x14ac:dyDescent="0.25">
      <c r="D24">
        <v>1901</v>
      </c>
      <c r="E24">
        <v>1.3916999999999999</v>
      </c>
      <c r="F24">
        <f t="shared" si="0"/>
        <v>100</v>
      </c>
    </row>
    <row r="25" spans="4:6" x14ac:dyDescent="0.25">
      <c r="D25">
        <v>2001</v>
      </c>
      <c r="E25">
        <v>1.3916999999999999</v>
      </c>
      <c r="F25">
        <f t="shared" si="0"/>
        <v>100</v>
      </c>
    </row>
    <row r="26" spans="4:6" x14ac:dyDescent="0.25">
      <c r="D26">
        <v>2101</v>
      </c>
      <c r="E26">
        <v>1.3909</v>
      </c>
      <c r="F26">
        <f t="shared" si="0"/>
        <v>100</v>
      </c>
    </row>
    <row r="27" spans="4:6" x14ac:dyDescent="0.25">
      <c r="D27">
        <v>2201</v>
      </c>
      <c r="E27">
        <v>1.3909</v>
      </c>
      <c r="F27">
        <f t="shared" si="0"/>
        <v>100</v>
      </c>
    </row>
    <row r="28" spans="4:6" x14ac:dyDescent="0.25">
      <c r="D28">
        <v>2301</v>
      </c>
      <c r="E28">
        <v>1.3916999999999999</v>
      </c>
      <c r="F28">
        <f t="shared" si="0"/>
        <v>100</v>
      </c>
    </row>
    <row r="29" spans="4:6" x14ac:dyDescent="0.25">
      <c r="D29">
        <v>2401</v>
      </c>
      <c r="E29">
        <v>1.3900999999999999</v>
      </c>
      <c r="F29">
        <f t="shared" si="0"/>
        <v>100</v>
      </c>
    </row>
    <row r="30" spans="4:6" x14ac:dyDescent="0.25">
      <c r="D30">
        <v>2501</v>
      </c>
      <c r="E30">
        <v>1.3909</v>
      </c>
      <c r="F30">
        <f t="shared" si="0"/>
        <v>100</v>
      </c>
    </row>
    <row r="31" spans="4:6" x14ac:dyDescent="0.25">
      <c r="D31">
        <v>2601</v>
      </c>
      <c r="E31">
        <v>1.3869</v>
      </c>
      <c r="F31">
        <f t="shared" si="0"/>
        <v>100</v>
      </c>
    </row>
    <row r="32" spans="4:6" x14ac:dyDescent="0.25">
      <c r="D32">
        <v>2701</v>
      </c>
      <c r="E32">
        <v>1.3916999999999999</v>
      </c>
      <c r="F32">
        <f t="shared" si="0"/>
        <v>100</v>
      </c>
    </row>
    <row r="33" spans="4:6" x14ac:dyDescent="0.25">
      <c r="D33">
        <v>2801</v>
      </c>
      <c r="E33">
        <v>1.3916999999999999</v>
      </c>
      <c r="F33">
        <f t="shared" si="0"/>
        <v>100</v>
      </c>
    </row>
    <row r="34" spans="4:6" x14ac:dyDescent="0.25">
      <c r="D34">
        <v>2901</v>
      </c>
      <c r="E34">
        <v>1.3909</v>
      </c>
      <c r="F34">
        <f t="shared" si="0"/>
        <v>100</v>
      </c>
    </row>
    <row r="35" spans="4:6" x14ac:dyDescent="0.25">
      <c r="D35">
        <v>3001</v>
      </c>
      <c r="E35">
        <v>1.3916999999999999</v>
      </c>
      <c r="F35">
        <f t="shared" si="0"/>
        <v>100</v>
      </c>
    </row>
    <row r="36" spans="4:6" x14ac:dyDescent="0.25">
      <c r="D36">
        <v>3101</v>
      </c>
      <c r="E36">
        <v>1.3909</v>
      </c>
      <c r="F36">
        <f t="shared" si="0"/>
        <v>100</v>
      </c>
    </row>
    <row r="37" spans="4:6" x14ac:dyDescent="0.25">
      <c r="D37">
        <v>3201</v>
      </c>
      <c r="E37">
        <v>1.3909</v>
      </c>
      <c r="F37">
        <f t="shared" si="0"/>
        <v>100</v>
      </c>
    </row>
    <row r="38" spans="4:6" x14ac:dyDescent="0.25">
      <c r="D38">
        <v>3301</v>
      </c>
      <c r="E38">
        <v>1.3876999999999999</v>
      </c>
      <c r="F38">
        <f t="shared" si="0"/>
        <v>100</v>
      </c>
    </row>
    <row r="39" spans="4:6" x14ac:dyDescent="0.25">
      <c r="D39">
        <v>3401</v>
      </c>
      <c r="E39">
        <v>1.3861000000000001</v>
      </c>
      <c r="F39">
        <f t="shared" si="0"/>
        <v>100</v>
      </c>
    </row>
    <row r="40" spans="4:6" x14ac:dyDescent="0.25">
      <c r="D40">
        <v>3501</v>
      </c>
      <c r="E40">
        <v>1.3900999999999999</v>
      </c>
      <c r="F40">
        <f t="shared" si="0"/>
        <v>100</v>
      </c>
    </row>
    <row r="41" spans="4:6" x14ac:dyDescent="0.25">
      <c r="D41">
        <v>3601</v>
      </c>
      <c r="E41">
        <v>1.3916999999999999</v>
      </c>
      <c r="F41">
        <f t="shared" si="0"/>
        <v>100</v>
      </c>
    </row>
    <row r="42" spans="4:6" x14ac:dyDescent="0.25">
      <c r="D42">
        <v>3701</v>
      </c>
      <c r="E42">
        <v>1.3909</v>
      </c>
      <c r="F42">
        <f t="shared" si="0"/>
        <v>100</v>
      </c>
    </row>
    <row r="43" spans="4:6" x14ac:dyDescent="0.25">
      <c r="D43">
        <v>3801</v>
      </c>
      <c r="E43">
        <v>1.3916999999999999</v>
      </c>
      <c r="F43">
        <f t="shared" si="0"/>
        <v>100</v>
      </c>
    </row>
    <row r="44" spans="4:6" x14ac:dyDescent="0.25">
      <c r="D44">
        <v>3901</v>
      </c>
      <c r="E44">
        <v>1.3900999999999999</v>
      </c>
      <c r="F44">
        <f t="shared" si="0"/>
        <v>214</v>
      </c>
    </row>
    <row r="45" spans="4:6" x14ac:dyDescent="0.25">
      <c r="D45">
        <v>4115</v>
      </c>
      <c r="E45">
        <v>1.3909</v>
      </c>
      <c r="F45">
        <f t="shared" si="0"/>
        <v>100</v>
      </c>
    </row>
    <row r="46" spans="4:6" x14ac:dyDescent="0.25">
      <c r="D46">
        <v>4215</v>
      </c>
      <c r="E46">
        <v>1.3909</v>
      </c>
      <c r="F46">
        <f t="shared" si="0"/>
        <v>100</v>
      </c>
    </row>
    <row r="47" spans="4:6" x14ac:dyDescent="0.25">
      <c r="D47">
        <v>4315</v>
      </c>
      <c r="E47">
        <v>1.3916999999999999</v>
      </c>
      <c r="F47">
        <f t="shared" si="0"/>
        <v>100</v>
      </c>
    </row>
    <row r="48" spans="4:6" x14ac:dyDescent="0.25">
      <c r="D48">
        <v>4415</v>
      </c>
      <c r="E48">
        <v>1.3900999999999999</v>
      </c>
      <c r="F48">
        <f t="shared" si="0"/>
        <v>100</v>
      </c>
    </row>
    <row r="49" spans="4:6" x14ac:dyDescent="0.25">
      <c r="D49">
        <v>4515</v>
      </c>
      <c r="E49">
        <v>1.3916999999999999</v>
      </c>
      <c r="F49">
        <f t="shared" si="0"/>
        <v>100</v>
      </c>
    </row>
    <row r="50" spans="4:6" x14ac:dyDescent="0.25">
      <c r="D50">
        <v>4615</v>
      </c>
      <c r="E50">
        <v>1.3909</v>
      </c>
      <c r="F50">
        <f t="shared" si="0"/>
        <v>100</v>
      </c>
    </row>
    <row r="51" spans="4:6" x14ac:dyDescent="0.25">
      <c r="D51">
        <v>4715</v>
      </c>
      <c r="E51">
        <v>1.3916999999999999</v>
      </c>
      <c r="F51">
        <f t="shared" si="0"/>
        <v>100</v>
      </c>
    </row>
    <row r="52" spans="4:6" x14ac:dyDescent="0.25">
      <c r="D52">
        <v>4815</v>
      </c>
      <c r="E52">
        <v>1.3909</v>
      </c>
      <c r="F52">
        <f t="shared" si="0"/>
        <v>100</v>
      </c>
    </row>
    <row r="53" spans="4:6" x14ac:dyDescent="0.25">
      <c r="D53">
        <v>4915</v>
      </c>
      <c r="E53">
        <v>1.3909</v>
      </c>
      <c r="F53">
        <f t="shared" si="0"/>
        <v>100</v>
      </c>
    </row>
    <row r="54" spans="4:6" x14ac:dyDescent="0.25">
      <c r="D54">
        <v>5015</v>
      </c>
      <c r="E54">
        <v>1.3916999999999999</v>
      </c>
      <c r="F54">
        <f t="shared" si="0"/>
        <v>100</v>
      </c>
    </row>
    <row r="55" spans="4:6" x14ac:dyDescent="0.25">
      <c r="D55">
        <v>5115</v>
      </c>
      <c r="E55">
        <v>1.3909</v>
      </c>
      <c r="F55">
        <f t="shared" si="0"/>
        <v>100</v>
      </c>
    </row>
    <row r="56" spans="4:6" x14ac:dyDescent="0.25">
      <c r="D56">
        <v>5215</v>
      </c>
      <c r="E56">
        <v>1.3909</v>
      </c>
      <c r="F56">
        <f t="shared" si="0"/>
        <v>100</v>
      </c>
    </row>
    <row r="57" spans="4:6" x14ac:dyDescent="0.25">
      <c r="D57">
        <v>5315</v>
      </c>
      <c r="E57">
        <v>1.3916999999999999</v>
      </c>
      <c r="F57">
        <f t="shared" si="0"/>
        <v>100</v>
      </c>
    </row>
    <row r="58" spans="4:6" x14ac:dyDescent="0.25">
      <c r="D58">
        <v>5415</v>
      </c>
      <c r="E58">
        <v>1.3916999999999999</v>
      </c>
      <c r="F58">
        <f t="shared" si="0"/>
        <v>100</v>
      </c>
    </row>
    <row r="59" spans="4:6" x14ac:dyDescent="0.25">
      <c r="D59">
        <v>5515</v>
      </c>
      <c r="E59">
        <v>1.3909</v>
      </c>
      <c r="F59">
        <f t="shared" si="0"/>
        <v>100</v>
      </c>
    </row>
    <row r="60" spans="4:6" x14ac:dyDescent="0.25">
      <c r="D60">
        <v>5615</v>
      </c>
      <c r="E60">
        <v>1.3909</v>
      </c>
      <c r="F60">
        <f t="shared" si="0"/>
        <v>100</v>
      </c>
    </row>
    <row r="61" spans="4:6" x14ac:dyDescent="0.25">
      <c r="D61">
        <v>5715</v>
      </c>
      <c r="E61">
        <v>1.3909</v>
      </c>
      <c r="F61">
        <f t="shared" si="0"/>
        <v>100</v>
      </c>
    </row>
    <row r="62" spans="4:6" x14ac:dyDescent="0.25">
      <c r="D62">
        <v>5815</v>
      </c>
      <c r="E62">
        <v>1.3909</v>
      </c>
      <c r="F62">
        <f t="shared" si="0"/>
        <v>100</v>
      </c>
    </row>
    <row r="63" spans="4:6" x14ac:dyDescent="0.25">
      <c r="D63">
        <v>5915</v>
      </c>
      <c r="E63">
        <v>1.3933</v>
      </c>
      <c r="F63">
        <f t="shared" si="0"/>
        <v>100</v>
      </c>
    </row>
    <row r="64" spans="4:6" x14ac:dyDescent="0.25">
      <c r="D64">
        <v>6015</v>
      </c>
      <c r="E64">
        <v>1.3909</v>
      </c>
      <c r="F64">
        <f t="shared" si="0"/>
        <v>100</v>
      </c>
    </row>
    <row r="65" spans="4:17" x14ac:dyDescent="0.25">
      <c r="D65">
        <v>6115</v>
      </c>
      <c r="E65">
        <v>1.3909</v>
      </c>
      <c r="F65">
        <f t="shared" si="0"/>
        <v>100</v>
      </c>
    </row>
    <row r="66" spans="4:17" x14ac:dyDescent="0.25">
      <c r="D66">
        <v>6215</v>
      </c>
      <c r="E66">
        <v>1.3900999999999999</v>
      </c>
      <c r="F66">
        <f t="shared" si="0"/>
        <v>100</v>
      </c>
    </row>
    <row r="67" spans="4:17" x14ac:dyDescent="0.25">
      <c r="D67">
        <v>6315</v>
      </c>
      <c r="E67">
        <v>1.3916999999999999</v>
      </c>
      <c r="F67">
        <f t="shared" si="0"/>
        <v>100</v>
      </c>
    </row>
    <row r="68" spans="4:17" x14ac:dyDescent="0.25">
      <c r="D68">
        <v>6415</v>
      </c>
      <c r="E68">
        <v>1.3909</v>
      </c>
      <c r="F68">
        <f t="shared" si="0"/>
        <v>100</v>
      </c>
    </row>
    <row r="69" spans="4:17" x14ac:dyDescent="0.25">
      <c r="D69">
        <v>6515</v>
      </c>
      <c r="E69">
        <v>1.3909</v>
      </c>
      <c r="F69">
        <f t="shared" si="0"/>
        <v>100</v>
      </c>
    </row>
    <row r="70" spans="4:17" x14ac:dyDescent="0.25">
      <c r="D70">
        <v>6615</v>
      </c>
      <c r="E70">
        <v>1.3909</v>
      </c>
      <c r="F70">
        <f t="shared" ref="F70:F104" si="1" xml:space="preserve"> D71 - D70</f>
        <v>100</v>
      </c>
      <c r="H70" t="s">
        <v>7</v>
      </c>
      <c r="I70" t="s">
        <v>6</v>
      </c>
      <c r="J70" t="s">
        <v>2</v>
      </c>
      <c r="K70" t="s">
        <v>3</v>
      </c>
      <c r="L70" t="s">
        <v>4</v>
      </c>
      <c r="M70" s="1" t="s">
        <v>5</v>
      </c>
      <c r="N70" t="s">
        <v>8</v>
      </c>
      <c r="O70" t="s">
        <v>9</v>
      </c>
      <c r="P70" t="s">
        <v>11</v>
      </c>
      <c r="Q70" t="s">
        <v>12</v>
      </c>
    </row>
    <row r="71" spans="4:17" x14ac:dyDescent="0.25">
      <c r="D71">
        <v>6715</v>
      </c>
      <c r="E71">
        <v>1.3909</v>
      </c>
      <c r="F71">
        <f t="shared" si="1"/>
        <v>100</v>
      </c>
      <c r="H71" s="1">
        <v>12</v>
      </c>
      <c r="I71" s="1">
        <v>3.3</v>
      </c>
      <c r="J71" s="1">
        <f>_xlfn.STDEV.S(E5:E104)</f>
        <v>9.681472465018268E-4</v>
      </c>
      <c r="K71" s="1">
        <v>7.1999999999999998E-3</v>
      </c>
      <c r="L71" s="1">
        <f>AVERAGE(E5:E104)</f>
        <v>1.3908919999999998</v>
      </c>
      <c r="M71" s="1">
        <f>3.3/ (2^12 - 1)</f>
        <v>8.0586080586080586E-4</v>
      </c>
      <c r="N71" s="1">
        <f>LOG10(3.3/(SQRT(12)*J71))/LOG10(2)</f>
        <v>9.9424706685127049</v>
      </c>
      <c r="O71">
        <f xml:space="preserve"> SUM(F5:F103)/(103-5)</f>
        <v>103.34693877551021</v>
      </c>
      <c r="P71">
        <f xml:space="preserve"> 1/O71</f>
        <v>9.6761453396524474E-3</v>
      </c>
      <c r="Q71" t="s">
        <v>13</v>
      </c>
    </row>
    <row r="72" spans="4:17" x14ac:dyDescent="0.25">
      <c r="D72">
        <v>6815</v>
      </c>
      <c r="E72">
        <v>1.3916999999999999</v>
      </c>
      <c r="F72">
        <f t="shared" si="1"/>
        <v>100</v>
      </c>
    </row>
    <row r="73" spans="4:17" x14ac:dyDescent="0.25">
      <c r="D73">
        <v>6915</v>
      </c>
      <c r="E73">
        <v>1.3909</v>
      </c>
      <c r="F73">
        <f t="shared" si="1"/>
        <v>100</v>
      </c>
    </row>
    <row r="74" spans="4:17" x14ac:dyDescent="0.25">
      <c r="D74">
        <v>7015</v>
      </c>
      <c r="E74">
        <v>1.3909</v>
      </c>
      <c r="F74">
        <f t="shared" si="1"/>
        <v>100</v>
      </c>
    </row>
    <row r="75" spans="4:17" x14ac:dyDescent="0.25">
      <c r="D75">
        <v>7115</v>
      </c>
      <c r="E75">
        <v>1.3909</v>
      </c>
      <c r="F75">
        <f t="shared" si="1"/>
        <v>100</v>
      </c>
    </row>
    <row r="76" spans="4:17" x14ac:dyDescent="0.25">
      <c r="D76">
        <v>7215</v>
      </c>
      <c r="E76">
        <v>1.3909</v>
      </c>
      <c r="F76">
        <f t="shared" si="1"/>
        <v>100</v>
      </c>
    </row>
    <row r="77" spans="4:17" x14ac:dyDescent="0.25">
      <c r="D77">
        <v>7315</v>
      </c>
      <c r="E77">
        <v>1.3909</v>
      </c>
      <c r="F77">
        <f t="shared" si="1"/>
        <v>100</v>
      </c>
    </row>
    <row r="78" spans="4:17" x14ac:dyDescent="0.25">
      <c r="D78">
        <v>7415</v>
      </c>
      <c r="E78">
        <v>1.3909</v>
      </c>
      <c r="F78">
        <f t="shared" si="1"/>
        <v>100</v>
      </c>
    </row>
    <row r="79" spans="4:17" x14ac:dyDescent="0.25">
      <c r="D79">
        <v>7515</v>
      </c>
      <c r="E79">
        <v>1.3909</v>
      </c>
      <c r="F79">
        <f t="shared" si="1"/>
        <v>100</v>
      </c>
    </row>
    <row r="80" spans="4:17" x14ac:dyDescent="0.25">
      <c r="D80">
        <v>7615</v>
      </c>
      <c r="E80">
        <v>1.3909</v>
      </c>
      <c r="F80">
        <f t="shared" si="1"/>
        <v>100</v>
      </c>
    </row>
    <row r="81" spans="4:6" x14ac:dyDescent="0.25">
      <c r="D81">
        <v>7715</v>
      </c>
      <c r="E81">
        <v>1.3909</v>
      </c>
      <c r="F81">
        <f t="shared" si="1"/>
        <v>100</v>
      </c>
    </row>
    <row r="82" spans="4:6" x14ac:dyDescent="0.25">
      <c r="D82">
        <v>7815</v>
      </c>
      <c r="E82">
        <v>1.3916999999999999</v>
      </c>
      <c r="F82">
        <f t="shared" si="1"/>
        <v>100</v>
      </c>
    </row>
    <row r="83" spans="4:6" x14ac:dyDescent="0.25">
      <c r="D83">
        <v>7915</v>
      </c>
      <c r="E83">
        <v>1.3909</v>
      </c>
      <c r="F83">
        <f t="shared" si="1"/>
        <v>214</v>
      </c>
    </row>
    <row r="84" spans="4:6" x14ac:dyDescent="0.25">
      <c r="D84">
        <v>8129</v>
      </c>
      <c r="E84">
        <v>1.3916999999999999</v>
      </c>
      <c r="F84">
        <f t="shared" si="1"/>
        <v>100</v>
      </c>
    </row>
    <row r="85" spans="4:6" x14ac:dyDescent="0.25">
      <c r="D85">
        <v>8229</v>
      </c>
      <c r="E85">
        <v>1.3916999999999999</v>
      </c>
      <c r="F85">
        <f t="shared" si="1"/>
        <v>100</v>
      </c>
    </row>
    <row r="86" spans="4:6" x14ac:dyDescent="0.25">
      <c r="D86">
        <v>8329</v>
      </c>
      <c r="E86">
        <v>1.3909</v>
      </c>
      <c r="F86">
        <f t="shared" si="1"/>
        <v>100</v>
      </c>
    </row>
    <row r="87" spans="4:6" x14ac:dyDescent="0.25">
      <c r="D87">
        <v>8429</v>
      </c>
      <c r="E87">
        <v>1.3916999999999999</v>
      </c>
      <c r="F87">
        <f t="shared" si="1"/>
        <v>100</v>
      </c>
    </row>
    <row r="88" spans="4:6" x14ac:dyDescent="0.25">
      <c r="D88">
        <v>8529</v>
      </c>
      <c r="E88">
        <v>1.3909</v>
      </c>
      <c r="F88">
        <f t="shared" si="1"/>
        <v>100</v>
      </c>
    </row>
    <row r="89" spans="4:6" x14ac:dyDescent="0.25">
      <c r="D89">
        <v>8629</v>
      </c>
      <c r="E89">
        <v>1.3909</v>
      </c>
      <c r="F89">
        <f t="shared" si="1"/>
        <v>100</v>
      </c>
    </row>
    <row r="90" spans="4:6" x14ac:dyDescent="0.25">
      <c r="D90">
        <v>8729</v>
      </c>
      <c r="E90">
        <v>1.3909</v>
      </c>
      <c r="F90">
        <f t="shared" si="1"/>
        <v>100</v>
      </c>
    </row>
    <row r="91" spans="4:6" x14ac:dyDescent="0.25">
      <c r="D91">
        <v>8829</v>
      </c>
      <c r="E91">
        <v>1.3900999999999999</v>
      </c>
      <c r="F91">
        <f t="shared" si="1"/>
        <v>100</v>
      </c>
    </row>
    <row r="92" spans="4:6" x14ac:dyDescent="0.25">
      <c r="D92">
        <v>8929</v>
      </c>
      <c r="E92">
        <v>1.3916999999999999</v>
      </c>
      <c r="F92">
        <f t="shared" si="1"/>
        <v>100</v>
      </c>
    </row>
    <row r="93" spans="4:6" x14ac:dyDescent="0.25">
      <c r="D93">
        <v>9029</v>
      </c>
      <c r="E93">
        <v>1.3916999999999999</v>
      </c>
      <c r="F93">
        <f t="shared" si="1"/>
        <v>100</v>
      </c>
    </row>
    <row r="94" spans="4:6" x14ac:dyDescent="0.25">
      <c r="D94">
        <v>9129</v>
      </c>
      <c r="E94">
        <v>1.3909</v>
      </c>
      <c r="F94">
        <f t="shared" si="1"/>
        <v>100</v>
      </c>
    </row>
    <row r="95" spans="4:6" x14ac:dyDescent="0.25">
      <c r="D95">
        <v>9229</v>
      </c>
      <c r="E95">
        <v>1.3916999999999999</v>
      </c>
      <c r="F95">
        <f t="shared" si="1"/>
        <v>100</v>
      </c>
    </row>
    <row r="96" spans="4:6" x14ac:dyDescent="0.25">
      <c r="D96">
        <v>9329</v>
      </c>
      <c r="E96">
        <v>1.3909</v>
      </c>
      <c r="F96">
        <f t="shared" si="1"/>
        <v>100</v>
      </c>
    </row>
    <row r="97" spans="4:6" x14ac:dyDescent="0.25">
      <c r="D97">
        <v>9429</v>
      </c>
      <c r="E97">
        <v>1.3909</v>
      </c>
      <c r="F97">
        <f t="shared" si="1"/>
        <v>100</v>
      </c>
    </row>
    <row r="98" spans="4:6" x14ac:dyDescent="0.25">
      <c r="D98">
        <v>9529</v>
      </c>
      <c r="E98">
        <v>1.3916999999999999</v>
      </c>
      <c r="F98">
        <f t="shared" si="1"/>
        <v>100</v>
      </c>
    </row>
    <row r="99" spans="4:6" x14ac:dyDescent="0.25">
      <c r="D99">
        <v>9629</v>
      </c>
      <c r="E99">
        <v>1.3909</v>
      </c>
      <c r="F99">
        <f t="shared" si="1"/>
        <v>100</v>
      </c>
    </row>
    <row r="100" spans="4:6" x14ac:dyDescent="0.25">
      <c r="D100">
        <v>9729</v>
      </c>
      <c r="E100">
        <v>1.3909</v>
      </c>
      <c r="F100">
        <f t="shared" si="1"/>
        <v>100</v>
      </c>
    </row>
    <row r="101" spans="4:6" x14ac:dyDescent="0.25">
      <c r="D101">
        <v>9829</v>
      </c>
      <c r="E101">
        <v>1.3909</v>
      </c>
      <c r="F101">
        <f t="shared" si="1"/>
        <v>100</v>
      </c>
    </row>
    <row r="102" spans="4:6" x14ac:dyDescent="0.25">
      <c r="D102">
        <v>9929</v>
      </c>
      <c r="E102">
        <v>1.3909</v>
      </c>
      <c r="F102">
        <f t="shared" si="1"/>
        <v>100</v>
      </c>
    </row>
    <row r="103" spans="4:6" x14ac:dyDescent="0.25">
      <c r="D103">
        <v>10029</v>
      </c>
      <c r="E103">
        <v>1.3885000000000001</v>
      </c>
      <c r="F103">
        <f t="shared" si="1"/>
        <v>100</v>
      </c>
    </row>
    <row r="104" spans="4:6" x14ac:dyDescent="0.25">
      <c r="D104">
        <v>10129</v>
      </c>
      <c r="E104">
        <v>1.3909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Aristide-Herve Dossou</dc:creator>
  <cp:lastModifiedBy>Aristide-Herve Dossou</cp:lastModifiedBy>
  <dcterms:created xsi:type="dcterms:W3CDTF">2025-09-29T07:20:56Z</dcterms:created>
  <dcterms:modified xsi:type="dcterms:W3CDTF">2025-09-29T09:57:23Z</dcterms:modified>
</cp:coreProperties>
</file>